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D:\code\investment-assistant\"/>
    </mc:Choice>
  </mc:AlternateContent>
  <xr:revisionPtr revIDLastSave="0" documentId="13_ncr:1_{FB5E6282-8750-473C-99D1-41AA51E17DBB}" xr6:coauthVersionLast="47" xr6:coauthVersionMax="47" xr10:uidLastSave="{00000000-0000-0000-0000-000000000000}"/>
  <bookViews>
    <workbookView xWindow="-110" yWindow="-110" windowWidth="25820" windowHeight="15500" xr2:uid="{EA7E3C49-E33F-4157-97C2-00FE7A5F6CB2}"/>
  </bookViews>
  <sheets>
    <sheet name="碳酸锂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<sst xmlns="http://schemas.openxmlformats.org/spreadsheetml/2006/main" count="196" uniqueCount="94">
  <si>
    <t>月份</t>
  </si>
  <si>
    <t>碳酸锂价格（元/吨）</t>
  </si>
  <si>
    <t>碳酸锂产量（吨）</t>
  </si>
  <si>
    <t>碳酸锂销量（吨）</t>
  </si>
  <si>
    <t>1月</t>
  </si>
  <si>
    <t xml:space="preserve"> </t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</si>
  <si>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</si>
  <si>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</si>
  <si>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</si>
  <si>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</si>
  <si>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</si>
  <si>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</si>
  <si>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</si>
  <si>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</si>
  <si>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</si>
  <si>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</si>
  <si>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</si>
  <si>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年份</t>
  </si>
  <si>
    <t>全球光伏年度新增装机（GW）</t>
  </si>
  <si>
    <t>中国光伏年度新增装机（GW）</t>
  </si>
  <si>
    <t>中国占全球新增装机比重（%）</t>
  </si>
  <si>
    <t>全球光伏配套储能占储能总新增比重（%）</t>
  </si>
  <si>
    <t>中国光伏配套储能占储能总新增比重（%）</t>
  </si>
  <si>
    <t>核心数据来源</t>
  </si>
  <si>
    <t>IEA、国家能源局</t>
  </si>
  <si>
    <t>IEA、国家能源局2025报告</t>
  </si>
  <si>
    <t>备注：中国2024年新型储能总装机73.76GW，光伏配套占42%（累计）</t>
    <phoneticPr fontId="1" type="noConversion"/>
  </si>
  <si>
    <t>核心驱动因素</t>
  </si>
  <si>
    <t>新能源汽车补贴启动，需求初步释放</t>
  </si>
  <si>
    <t>补贴政策落地，锂矿投产延迟，供需紧张</t>
  </si>
  <si>
    <t>全球锂资源争夺，新能源需求稳步增长</t>
  </si>
  <si>
    <t>产能释放，补贴退坡，需求放缓</t>
  </si>
  <si>
    <t>供过于求，行业去库存</t>
  </si>
  <si>
    <t>疫情冲击需求，成本线附近震荡</t>
  </si>
  <si>
    <t>碳中和政策驱动，新能源车渗透率飙升</t>
  </si>
  <si>
    <t>产能集中释放，需求增速不及供给</t>
  </si>
  <si>
    <t>供需失衡持续，库存高企</t>
  </si>
  <si>
    <t>底部停产去产能，储能需求回暖</t>
  </si>
  <si>
    <t>电池级碳酸锂均价（万元/吨）</t>
  </si>
  <si>
    <t>工业级碳酸锂均价（万元/吨）</t>
  </si>
  <si>
    <t>年度关键节点价格（万元/吨）</t>
  </si>
  <si>
    <t>2015年</t>
  </si>
  <si>
    <t>年末涨至6.0</t>
  </si>
  <si>
    <t>2016年</t>
  </si>
  <si>
    <t>4月峰值17.1</t>
  </si>
  <si>
    <t>2017年</t>
  </si>
  <si>
    <t>全年高位16.8-18.0</t>
  </si>
  <si>
    <t>2018年</t>
  </si>
  <si>
    <t>年末降至8.5</t>
  </si>
  <si>
    <t>2019年</t>
  </si>
  <si>
    <t>年底低位4.8</t>
  </si>
  <si>
    <t>2020年</t>
  </si>
  <si>
    <t>7月低点3.9-4.1</t>
  </si>
  <si>
    <t>2021年</t>
  </si>
  <si>
    <t>年末突破30.0</t>
  </si>
  <si>
    <t>2022年</t>
  </si>
  <si>
    <t>11月历史峰值60.0</t>
  </si>
  <si>
    <t>供应链短缺，储能+新能源车双需求爆发</t>
  </si>
  <si>
    <t>2023年</t>
  </si>
  <si>
    <t>12月降至10.3</t>
  </si>
  <si>
    <t>2024年</t>
  </si>
  <si>
    <t>年末7.8</t>
  </si>
  <si>
    <t>2025年</t>
  </si>
  <si>
    <t>6月低点5.9，年末11.9</t>
  </si>
  <si>
    <t>2026年（截至1月）</t>
  </si>
  <si>
    <t>110（预计）</t>
  </si>
  <si>
    <t>1月23日现货17.1</t>
  </si>
  <si>
    <t>供给收紧，新能源车+储能需求共振</t>
  </si>
  <si>
    <t>全球碳酸锂产能（万吨LCE）</t>
  </si>
  <si>
    <t>中国碳酸锂产能（万吨LCE）</t>
  </si>
  <si>
    <t>全球碳酸锂销量（万吨LCE）</t>
  </si>
  <si>
    <t>中国碳酸锂销量（万吨LCE）</t>
  </si>
  <si>
    <t>中国动力电池销量（GWh）</t>
  </si>
  <si>
    <t>中国光储销量（GWh）</t>
  </si>
  <si>
    <t>195（预计）</t>
  </si>
  <si>
    <t>170（预计）</t>
  </si>
  <si>
    <t>95（预计）</t>
  </si>
  <si>
    <t>动力电池碳酸锂消耗（万吨LCE）</t>
  </si>
  <si>
    <t>光储碳酸锂消耗（万吨LCE）</t>
  </si>
  <si>
    <t>两大领域总消耗（万吨LCE）</t>
  </si>
  <si>
    <t>占中国销量比例</t>
  </si>
  <si>
    <t>700（预计）</t>
  </si>
  <si>
    <t>150（预计）</t>
  </si>
  <si>
    <t>消费电子碳酸锂消耗（万吨LCE）</t>
  </si>
  <si>
    <t>工业应用碳酸锂消耗（万吨LCE）</t>
  </si>
  <si>
    <t>中国碳酸锂出口（万吨LCE）</t>
  </si>
  <si>
    <t>SMM报价+中国有色金属工业协会《锂行业报告》；CAAM动力电池数据；中国海关出口报关单</t>
  </si>
  <si>
    <t>SMM报价+赣锋锂业公开财报；CAAM动力电池数据；中国海关出口报关单</t>
  </si>
  <si>
    <t>SMM报价+中国有色金属工业协会《锂行业报告》；CNESA储能数据；中国海关出口报关单</t>
  </si>
  <si>
    <t>SMM报价+天齐锂业公开财报；CAAM动力电池数据；中国海关出口报关单</t>
  </si>
  <si>
    <t>SMM报价+广州期货交易所期货数据；CAAM动力电池数据；中国海关出口报关单</t>
  </si>
  <si>
    <t>SMM报价+宁德时代公开财报；国家能源局储能装机数据；中国海关出口报关单</t>
  </si>
  <si>
    <t>SMM报价+中国有色金属工业协会《锂行业报告》；国家能源局储能装机数据；中国海关出口报关单</t>
  </si>
  <si>
    <t>SMM报价+国家能源局《新型储能发展报告（2025）》；CAAM动力电池数据；中国海关出口报关单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</si>
</sst>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1"/>
      <color theme="4" tint="-0.249977111117893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2" fillId="0" borderId="1" xfId="0" applyFont="1" applyBorder="1">
      <alignment vertical="center"/>
    </xf>
    <xf numFmtId="0" fontId="0" fillId="0" borderId="1" xfId="0" applyBorder="1">
      <alignment vertical="center"/>
    </xf>
    <xf numFmtId="0" fontId="0" fillId="0" borderId="2" xfId="0" applyBorder="1" applyAlignment="1">
      <alignment horizontal="center" vertical="center"/>
    </xf>
    <xf numFmtId="0" fontId="0" fillId="0" borderId="3" xfId="0" applyFill="1" applyBorder="1">
      <alignment vertical="center"/>
    </xf>
    <xf numFmtId="10" fontId="0" fillId="0" borderId="0" xfId="0" applyNumberFormat="1">
      <alignment vertical="center"/>
    </xf>
    <xf numFmtId="10" fontId="0" fillId="0" borderId="1" xfId="0" applyNumberFormat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碳酸锂!$B$19</c:f>
              <c:strCache>
                <c:ptCount val="1"/>
                <c:pt idx="0">
                  <c:v>全球光伏年度新增装机（GW）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碳酸锂!$A$20:$A$30</c:f>
              <c:numCache>
                <c:formatCode>General</c:formatCode>
                <c:ptCount val="11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</c:numCache>
            </c:numRef>
          </c:cat>
          <c:val>
            <c:numRef>
              <c:f>碳酸锂!$B$20:$B$30</c:f>
              <c:numCache>
                <c:formatCode>General</c:formatCode>
                <c:ptCount val="11"/>
                <c:pt idx="0">
                  <c:v>53.6</c:v>
                </c:pt>
                <c:pt idx="1">
                  <c:v>73.8</c:v>
                </c:pt>
                <c:pt idx="2">
                  <c:v>98.9</c:v>
                </c:pt>
                <c:pt idx="3">
                  <c:v>103</c:v>
                </c:pt>
                <c:pt idx="4">
                  <c:v>115</c:v>
                </c:pt>
                <c:pt idx="5">
                  <c:v>138</c:v>
                </c:pt>
                <c:pt idx="6">
                  <c:v>175</c:v>
                </c:pt>
                <c:pt idx="7">
                  <c:v>236</c:v>
                </c:pt>
                <c:pt idx="8">
                  <c:v>306</c:v>
                </c:pt>
                <c:pt idx="9">
                  <c:v>451.9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086-4EB6-AA92-A1651616E5FE}"/>
            </c:ext>
          </c:extLst>
        </c:ser>
        <c:ser>
          <c:idx val="1"/>
          <c:order val="1"/>
          <c:tx>
            <c:strRef>
              <c:f>碳酸锂!$C$19</c:f>
              <c:strCache>
                <c:ptCount val="1"/>
                <c:pt idx="0">
                  <c:v>中国光伏年度新增装机（GW）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碳酸锂!$A$20:$A$30</c:f>
              <c:numCache>
                <c:formatCode>General</c:formatCode>
                <c:ptCount val="11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</c:numCache>
            </c:numRef>
          </c:cat>
          <c:val>
            <c:numRef>
              <c:f>碳酸锂!$C$20:$C$30</c:f>
              <c:numCache>
                <c:formatCode>General</c:formatCode>
                <c:ptCount val="11"/>
                <c:pt idx="0">
                  <c:v>15.1</c:v>
                </c:pt>
                <c:pt idx="1">
                  <c:v>34.5</c:v>
                </c:pt>
                <c:pt idx="2">
                  <c:v>53.1</c:v>
                </c:pt>
                <c:pt idx="3">
                  <c:v>44.3</c:v>
                </c:pt>
                <c:pt idx="4">
                  <c:v>30.1</c:v>
                </c:pt>
                <c:pt idx="5">
                  <c:v>48.2</c:v>
                </c:pt>
                <c:pt idx="6">
                  <c:v>54.9</c:v>
                </c:pt>
                <c:pt idx="7">
                  <c:v>87.4</c:v>
                </c:pt>
                <c:pt idx="8">
                  <c:v>219.6</c:v>
                </c:pt>
                <c:pt idx="9">
                  <c:v>278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086-4EB6-AA92-A1651616E5FE}"/>
            </c:ext>
          </c:extLst>
        </c:ser>
        <c:ser>
          <c:idx val="2"/>
          <c:order val="2"/>
          <c:tx>
            <c:strRef>
              <c:f>碳酸锂!$D$19</c:f>
              <c:strCache>
                <c:ptCount val="1"/>
                <c:pt idx="0">
                  <c:v>中国占全球新增装机比重（%）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碳酸锂!$A$20:$A$30</c:f>
              <c:numCache>
                <c:formatCode>General</c:formatCode>
                <c:ptCount val="11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</c:numCache>
            </c:numRef>
          </c:cat>
          <c:val>
            <c:numRef>
              <c:f>碳酸锂!$D$20:$D$30</c:f>
              <c:numCache>
                <c:formatCode>General</c:formatCode>
                <c:ptCount val="11"/>
                <c:pt idx="0">
                  <c:v>28.2</c:v>
                </c:pt>
                <c:pt idx="1">
                  <c:v>46.8</c:v>
                </c:pt>
                <c:pt idx="2">
                  <c:v>53.7</c:v>
                </c:pt>
                <c:pt idx="3">
                  <c:v>43</c:v>
                </c:pt>
                <c:pt idx="4">
                  <c:v>26.2</c:v>
                </c:pt>
                <c:pt idx="5">
                  <c:v>34.9</c:v>
                </c:pt>
                <c:pt idx="6">
                  <c:v>31.4</c:v>
                </c:pt>
                <c:pt idx="7">
                  <c:v>37</c:v>
                </c:pt>
                <c:pt idx="8">
                  <c:v>71.8</c:v>
                </c:pt>
                <c:pt idx="9">
                  <c:v>61.5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086-4EB6-AA92-A1651616E5FE}"/>
            </c:ext>
          </c:extLst>
        </c:ser>
        <c:ser>
          <c:idx val="3"/>
          <c:order val="3"/>
          <c:tx>
            <c:strRef>
              <c:f>碳酸锂!$E$19</c:f>
              <c:strCache>
                <c:ptCount val="1"/>
                <c:pt idx="0">
                  <c:v>全球光伏配套储能占储能总新增比重（%）</c:v>
                </c:pt>
              </c:strCache>
            </c:strRef>
          </c:tx>
          <c:spPr>
            <a:ln w="34925" cap="rnd">
              <a:solidFill>
                <a:schemeClr val="accent4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碳酸锂!$A$20:$A$30</c:f>
              <c:numCache>
                <c:formatCode>General</c:formatCode>
                <c:ptCount val="11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</c:numCache>
            </c:numRef>
          </c:cat>
          <c:val>
            <c:numRef>
              <c:f>碳酸锂!$E$20:$E$30</c:f>
              <c:numCache>
                <c:formatCode>General</c:formatCode>
                <c:ptCount val="11"/>
                <c:pt idx="0">
                  <c:v>18.5</c:v>
                </c:pt>
                <c:pt idx="1">
                  <c:v>21.2</c:v>
                </c:pt>
                <c:pt idx="2">
                  <c:v>24.8</c:v>
                </c:pt>
                <c:pt idx="3">
                  <c:v>27.5</c:v>
                </c:pt>
                <c:pt idx="4">
                  <c:v>31</c:v>
                </c:pt>
                <c:pt idx="5">
                  <c:v>38.700000000000003</c:v>
                </c:pt>
                <c:pt idx="6">
                  <c:v>49.5</c:v>
                </c:pt>
                <c:pt idx="7">
                  <c:v>58.2</c:v>
                </c:pt>
                <c:pt idx="8">
                  <c:v>65</c:v>
                </c:pt>
                <c:pt idx="9">
                  <c:v>70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086-4EB6-AA92-A1651616E5FE}"/>
            </c:ext>
          </c:extLst>
        </c:ser>
        <c:ser>
          <c:idx val="4"/>
          <c:order val="4"/>
          <c:tx>
            <c:strRef>
              <c:f>碳酸锂!$F$19</c:f>
              <c:strCache>
                <c:ptCount val="1"/>
                <c:pt idx="0">
                  <c:v>中国光伏配套储能占储能总新增比重（%）</c:v>
                </c:pt>
              </c:strCache>
            </c:strRef>
          </c:tx>
          <c:spPr>
            <a:ln w="34925" cap="rnd">
              <a:solidFill>
                <a:schemeClr val="accent5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碳酸锂!$A$20:$A$30</c:f>
              <c:numCache>
                <c:formatCode>General</c:formatCode>
                <c:ptCount val="11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</c:numCache>
            </c:numRef>
          </c:cat>
          <c:val>
            <c:numRef>
              <c:f>碳酸锂!$F$20:$F$30</c:f>
              <c:numCache>
                <c:formatCode>General</c:formatCode>
                <c:ptCount val="11"/>
                <c:pt idx="0">
                  <c:v>22.3</c:v>
                </c:pt>
                <c:pt idx="1">
                  <c:v>25.7</c:v>
                </c:pt>
                <c:pt idx="2">
                  <c:v>29.1</c:v>
                </c:pt>
                <c:pt idx="3">
                  <c:v>32.4</c:v>
                </c:pt>
                <c:pt idx="4">
                  <c:v>36.799999999999997</c:v>
                </c:pt>
                <c:pt idx="5">
                  <c:v>45.2</c:v>
                </c:pt>
                <c:pt idx="6">
                  <c:v>58.6</c:v>
                </c:pt>
                <c:pt idx="7">
                  <c:v>65.3</c:v>
                </c:pt>
                <c:pt idx="8">
                  <c:v>72</c:v>
                </c:pt>
                <c:pt idx="9">
                  <c:v>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086-4EB6-AA92-A1651616E5FE}"/>
            </c:ext>
          </c:extLst>
        </c:ser>
        <c:ser>
          <c:idx val="5"/>
          <c:order val="5"/>
          <c:tx>
            <c:strRef>
              <c:f>碳酸锂!$G$19</c:f>
              <c:strCache>
                <c:ptCount val="1"/>
                <c:pt idx="0">
                  <c:v>核心数据来源</c:v>
                </c:pt>
              </c:strCache>
            </c:strRef>
          </c:tx>
          <c:spPr>
            <a:ln w="34925" cap="rnd">
              <a:solidFill>
                <a:schemeClr val="accent6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碳酸锂!$A$20:$A$30</c:f>
              <c:numCache>
                <c:formatCode>General</c:formatCode>
                <c:ptCount val="11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</c:numCache>
            </c:numRef>
          </c:cat>
          <c:val>
            <c:numRef>
              <c:f>碳酸锂!$G$20:$G$30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9086-4EB6-AA92-A1651616E5FE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577624239"/>
        <c:axId val="1577625199"/>
      </c:lineChart>
      <c:catAx>
        <c:axId val="15776242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577625199"/>
        <c:crosses val="autoZero"/>
        <c:auto val="1"/>
        <c:lblAlgn val="ctr"/>
        <c:lblOffset val="100"/>
        <c:noMultiLvlLbl val="0"/>
      </c:catAx>
      <c:valAx>
        <c:axId val="15776251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5776242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碳酸锂!$B$66</c:f>
              <c:strCache>
                <c:ptCount val="1"/>
                <c:pt idx="0">
                  <c:v>电池级碳酸锂均价（万元/吨）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碳酸锂!$A$67:$A$77</c:f>
              <c:strCache>
                <c:ptCount val="11"/>
                <c:pt idx="0">
                  <c:v>2015年</c:v>
                </c:pt>
                <c:pt idx="1">
                  <c:v>2016年</c:v>
                </c:pt>
                <c:pt idx="2">
                  <c:v>2017年</c:v>
                </c:pt>
                <c:pt idx="3">
                  <c:v>2018年</c:v>
                </c:pt>
                <c:pt idx="4">
                  <c:v>2019年</c:v>
                </c:pt>
                <c:pt idx="5">
                  <c:v>2020年</c:v>
                </c:pt>
                <c:pt idx="6">
                  <c:v>2021年</c:v>
                </c:pt>
                <c:pt idx="7">
                  <c:v>2022年</c:v>
                </c:pt>
                <c:pt idx="8">
                  <c:v>2023年</c:v>
                </c:pt>
                <c:pt idx="9">
                  <c:v>2024年</c:v>
                </c:pt>
                <c:pt idx="10">
                  <c:v>2025年</c:v>
                </c:pt>
              </c:strCache>
            </c:strRef>
          </c:cat>
          <c:val>
            <c:numRef>
              <c:f>碳酸锂!$B$67:$B$77</c:f>
              <c:numCache>
                <c:formatCode>General</c:formatCode>
                <c:ptCount val="11"/>
                <c:pt idx="0">
                  <c:v>5.2</c:v>
                </c:pt>
                <c:pt idx="1">
                  <c:v>12.5</c:v>
                </c:pt>
                <c:pt idx="2">
                  <c:v>16.2</c:v>
                </c:pt>
                <c:pt idx="3">
                  <c:v>12.8</c:v>
                </c:pt>
                <c:pt idx="4">
                  <c:v>6.5</c:v>
                </c:pt>
                <c:pt idx="5">
                  <c:v>4.5</c:v>
                </c:pt>
                <c:pt idx="6">
                  <c:v>18.3</c:v>
                </c:pt>
                <c:pt idx="7">
                  <c:v>41.7</c:v>
                </c:pt>
                <c:pt idx="8">
                  <c:v>26.6</c:v>
                </c:pt>
                <c:pt idx="9">
                  <c:v>9.1</c:v>
                </c:pt>
                <c:pt idx="10">
                  <c:v>8.1999999999999993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2D8-4370-AE7C-F8DD07B52471}"/>
            </c:ext>
          </c:extLst>
        </c:ser>
        <c:ser>
          <c:idx val="1"/>
          <c:order val="1"/>
          <c:tx>
            <c:strRef>
              <c:f>碳酸锂!$C$66</c:f>
              <c:strCache>
                <c:ptCount val="1"/>
                <c:pt idx="0">
                  <c:v>工业级碳酸锂均价（万元/吨）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碳酸锂!$A$67:$A$77</c:f>
              <c:strCache>
                <c:ptCount val="11"/>
                <c:pt idx="0">
                  <c:v>2015年</c:v>
                </c:pt>
                <c:pt idx="1">
                  <c:v>2016年</c:v>
                </c:pt>
                <c:pt idx="2">
                  <c:v>2017年</c:v>
                </c:pt>
                <c:pt idx="3">
                  <c:v>2018年</c:v>
                </c:pt>
                <c:pt idx="4">
                  <c:v>2019年</c:v>
                </c:pt>
                <c:pt idx="5">
                  <c:v>2020年</c:v>
                </c:pt>
                <c:pt idx="6">
                  <c:v>2021年</c:v>
                </c:pt>
                <c:pt idx="7">
                  <c:v>2022年</c:v>
                </c:pt>
                <c:pt idx="8">
                  <c:v>2023年</c:v>
                </c:pt>
                <c:pt idx="9">
                  <c:v>2024年</c:v>
                </c:pt>
                <c:pt idx="10">
                  <c:v>2025年</c:v>
                </c:pt>
              </c:strCache>
            </c:strRef>
          </c:cat>
          <c:val>
            <c:numRef>
              <c:f>碳酸锂!$C$67:$C$77</c:f>
              <c:numCache>
                <c:formatCode>General</c:formatCode>
                <c:ptCount val="11"/>
                <c:pt idx="0">
                  <c:v>4.8</c:v>
                </c:pt>
                <c:pt idx="1">
                  <c:v>11.8</c:v>
                </c:pt>
                <c:pt idx="2">
                  <c:v>15.5</c:v>
                </c:pt>
                <c:pt idx="3">
                  <c:v>12.1</c:v>
                </c:pt>
                <c:pt idx="4">
                  <c:v>6</c:v>
                </c:pt>
                <c:pt idx="5">
                  <c:v>4.2</c:v>
                </c:pt>
                <c:pt idx="6">
                  <c:v>17.5</c:v>
                </c:pt>
                <c:pt idx="7">
                  <c:v>40.200000000000003</c:v>
                </c:pt>
                <c:pt idx="8">
                  <c:v>25.8</c:v>
                </c:pt>
                <c:pt idx="9">
                  <c:v>8.6999999999999993</c:v>
                </c:pt>
                <c:pt idx="10">
                  <c:v>7.9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2D8-4370-AE7C-F8DD07B52471}"/>
            </c:ext>
          </c:extLst>
        </c:ser>
        <c:ser>
          <c:idx val="2"/>
          <c:order val="2"/>
          <c:tx>
            <c:strRef>
              <c:f>碳酸锂!$D$66</c:f>
              <c:strCache>
                <c:ptCount val="1"/>
                <c:pt idx="0">
                  <c:v>全球碳酸锂产能（万吨LCE）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碳酸锂!$A$67:$A$77</c:f>
              <c:strCache>
                <c:ptCount val="11"/>
                <c:pt idx="0">
                  <c:v>2015年</c:v>
                </c:pt>
                <c:pt idx="1">
                  <c:v>2016年</c:v>
                </c:pt>
                <c:pt idx="2">
                  <c:v>2017年</c:v>
                </c:pt>
                <c:pt idx="3">
                  <c:v>2018年</c:v>
                </c:pt>
                <c:pt idx="4">
                  <c:v>2019年</c:v>
                </c:pt>
                <c:pt idx="5">
                  <c:v>2020年</c:v>
                </c:pt>
                <c:pt idx="6">
                  <c:v>2021年</c:v>
                </c:pt>
                <c:pt idx="7">
                  <c:v>2022年</c:v>
                </c:pt>
                <c:pt idx="8">
                  <c:v>2023年</c:v>
                </c:pt>
                <c:pt idx="9">
                  <c:v>2024年</c:v>
                </c:pt>
                <c:pt idx="10">
                  <c:v>2025年</c:v>
                </c:pt>
              </c:strCache>
            </c:strRef>
          </c:cat>
          <c:val>
            <c:numRef>
              <c:f>碳酸锂!$D$67:$D$77</c:f>
              <c:numCache>
                <c:formatCode>General</c:formatCode>
                <c:ptCount val="11"/>
                <c:pt idx="0">
                  <c:v>16</c:v>
                </c:pt>
                <c:pt idx="1">
                  <c:v>22</c:v>
                </c:pt>
                <c:pt idx="2">
                  <c:v>28</c:v>
                </c:pt>
                <c:pt idx="3">
                  <c:v>35</c:v>
                </c:pt>
                <c:pt idx="4">
                  <c:v>40</c:v>
                </c:pt>
                <c:pt idx="5">
                  <c:v>45</c:v>
                </c:pt>
                <c:pt idx="6">
                  <c:v>70</c:v>
                </c:pt>
                <c:pt idx="7">
                  <c:v>90</c:v>
                </c:pt>
                <c:pt idx="8">
                  <c:v>120</c:v>
                </c:pt>
                <c:pt idx="9">
                  <c:v>150</c:v>
                </c:pt>
                <c:pt idx="10">
                  <c:v>161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2D8-4370-AE7C-F8DD07B52471}"/>
            </c:ext>
          </c:extLst>
        </c:ser>
        <c:ser>
          <c:idx val="3"/>
          <c:order val="3"/>
          <c:tx>
            <c:strRef>
              <c:f>碳酸锂!$E$66</c:f>
              <c:strCache>
                <c:ptCount val="1"/>
                <c:pt idx="0">
                  <c:v>中国碳酸锂产能（万吨LCE）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碳酸锂!$A$67:$A$77</c:f>
              <c:strCache>
                <c:ptCount val="11"/>
                <c:pt idx="0">
                  <c:v>2015年</c:v>
                </c:pt>
                <c:pt idx="1">
                  <c:v>2016年</c:v>
                </c:pt>
                <c:pt idx="2">
                  <c:v>2017年</c:v>
                </c:pt>
                <c:pt idx="3">
                  <c:v>2018年</c:v>
                </c:pt>
                <c:pt idx="4">
                  <c:v>2019年</c:v>
                </c:pt>
                <c:pt idx="5">
                  <c:v>2020年</c:v>
                </c:pt>
                <c:pt idx="6">
                  <c:v>2021年</c:v>
                </c:pt>
                <c:pt idx="7">
                  <c:v>2022年</c:v>
                </c:pt>
                <c:pt idx="8">
                  <c:v>2023年</c:v>
                </c:pt>
                <c:pt idx="9">
                  <c:v>2024年</c:v>
                </c:pt>
                <c:pt idx="10">
                  <c:v>2025年</c:v>
                </c:pt>
              </c:strCache>
            </c:strRef>
          </c:cat>
          <c:val>
            <c:numRef>
              <c:f>碳酸锂!$E$67:$E$77</c:f>
              <c:numCache>
                <c:formatCode>General</c:formatCode>
                <c:ptCount val="11"/>
                <c:pt idx="0">
                  <c:v>8</c:v>
                </c:pt>
                <c:pt idx="1">
                  <c:v>12</c:v>
                </c:pt>
                <c:pt idx="2">
                  <c:v>15</c:v>
                </c:pt>
                <c:pt idx="3">
                  <c:v>20</c:v>
                </c:pt>
                <c:pt idx="4">
                  <c:v>22</c:v>
                </c:pt>
                <c:pt idx="5">
                  <c:v>25</c:v>
                </c:pt>
                <c:pt idx="6">
                  <c:v>40</c:v>
                </c:pt>
                <c:pt idx="7">
                  <c:v>55</c:v>
                </c:pt>
                <c:pt idx="8">
                  <c:v>70</c:v>
                </c:pt>
                <c:pt idx="9">
                  <c:v>90</c:v>
                </c:pt>
                <c:pt idx="10">
                  <c:v>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2D8-4370-AE7C-F8DD07B52471}"/>
            </c:ext>
          </c:extLst>
        </c:ser>
        <c:ser>
          <c:idx val="4"/>
          <c:order val="4"/>
          <c:tx>
            <c:strRef>
              <c:f>碳酸锂!$F$66</c:f>
              <c:strCache>
                <c:ptCount val="1"/>
                <c:pt idx="0">
                  <c:v>全球碳酸锂销量（万吨LCE）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strRef>
              <c:f>碳酸锂!$A$67:$A$77</c:f>
              <c:strCache>
                <c:ptCount val="11"/>
                <c:pt idx="0">
                  <c:v>2015年</c:v>
                </c:pt>
                <c:pt idx="1">
                  <c:v>2016年</c:v>
                </c:pt>
                <c:pt idx="2">
                  <c:v>2017年</c:v>
                </c:pt>
                <c:pt idx="3">
                  <c:v>2018年</c:v>
                </c:pt>
                <c:pt idx="4">
                  <c:v>2019年</c:v>
                </c:pt>
                <c:pt idx="5">
                  <c:v>2020年</c:v>
                </c:pt>
                <c:pt idx="6">
                  <c:v>2021年</c:v>
                </c:pt>
                <c:pt idx="7">
                  <c:v>2022年</c:v>
                </c:pt>
                <c:pt idx="8">
                  <c:v>2023年</c:v>
                </c:pt>
                <c:pt idx="9">
                  <c:v>2024年</c:v>
                </c:pt>
                <c:pt idx="10">
                  <c:v>2025年</c:v>
                </c:pt>
              </c:strCache>
            </c:strRef>
          </c:cat>
          <c:val>
            <c:numRef>
              <c:f>碳酸锂!$F$67:$F$77</c:f>
              <c:numCache>
                <c:formatCode>General</c:formatCode>
                <c:ptCount val="11"/>
                <c:pt idx="0">
                  <c:v>14</c:v>
                </c:pt>
                <c:pt idx="1">
                  <c:v>18</c:v>
                </c:pt>
                <c:pt idx="2">
                  <c:v>24</c:v>
                </c:pt>
                <c:pt idx="3">
                  <c:v>30</c:v>
                </c:pt>
                <c:pt idx="4">
                  <c:v>32</c:v>
                </c:pt>
                <c:pt idx="5">
                  <c:v>35</c:v>
                </c:pt>
                <c:pt idx="6">
                  <c:v>60</c:v>
                </c:pt>
                <c:pt idx="7">
                  <c:v>80</c:v>
                </c:pt>
                <c:pt idx="8">
                  <c:v>100</c:v>
                </c:pt>
                <c:pt idx="9">
                  <c:v>120</c:v>
                </c:pt>
                <c:pt idx="10">
                  <c:v>154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2D8-4370-AE7C-F8DD07B52471}"/>
            </c:ext>
          </c:extLst>
        </c:ser>
        <c:ser>
          <c:idx val="5"/>
          <c:order val="5"/>
          <c:tx>
            <c:strRef>
              <c:f>碳酸锂!$G$66</c:f>
              <c:strCache>
                <c:ptCount val="1"/>
                <c:pt idx="0">
                  <c:v>中国碳酸锂销量（万吨LCE）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strRef>
              <c:f>碳酸锂!$A$67:$A$77</c:f>
              <c:strCache>
                <c:ptCount val="11"/>
                <c:pt idx="0">
                  <c:v>2015年</c:v>
                </c:pt>
                <c:pt idx="1">
                  <c:v>2016年</c:v>
                </c:pt>
                <c:pt idx="2">
                  <c:v>2017年</c:v>
                </c:pt>
                <c:pt idx="3">
                  <c:v>2018年</c:v>
                </c:pt>
                <c:pt idx="4">
                  <c:v>2019年</c:v>
                </c:pt>
                <c:pt idx="5">
                  <c:v>2020年</c:v>
                </c:pt>
                <c:pt idx="6">
                  <c:v>2021年</c:v>
                </c:pt>
                <c:pt idx="7">
                  <c:v>2022年</c:v>
                </c:pt>
                <c:pt idx="8">
                  <c:v>2023年</c:v>
                </c:pt>
                <c:pt idx="9">
                  <c:v>2024年</c:v>
                </c:pt>
                <c:pt idx="10">
                  <c:v>2025年</c:v>
                </c:pt>
              </c:strCache>
            </c:strRef>
          </c:cat>
          <c:val>
            <c:numRef>
              <c:f>碳酸锂!$G$67:$G$77</c:f>
              <c:numCache>
                <c:formatCode>General</c:formatCode>
                <c:ptCount val="11"/>
                <c:pt idx="0">
                  <c:v>7</c:v>
                </c:pt>
                <c:pt idx="1">
                  <c:v>9</c:v>
                </c:pt>
                <c:pt idx="2">
                  <c:v>12</c:v>
                </c:pt>
                <c:pt idx="3">
                  <c:v>16</c:v>
                </c:pt>
                <c:pt idx="4">
                  <c:v>18</c:v>
                </c:pt>
                <c:pt idx="5">
                  <c:v>20</c:v>
                </c:pt>
                <c:pt idx="6">
                  <c:v>35</c:v>
                </c:pt>
                <c:pt idx="7">
                  <c:v>48</c:v>
                </c:pt>
                <c:pt idx="8">
                  <c:v>60</c:v>
                </c:pt>
                <c:pt idx="9">
                  <c:v>70</c:v>
                </c:pt>
                <c:pt idx="10">
                  <c:v>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32D8-4370-AE7C-F8DD07B52471}"/>
            </c:ext>
          </c:extLst>
        </c:ser>
        <c:ser>
          <c:idx val="6"/>
          <c:order val="6"/>
          <c:tx>
            <c:strRef>
              <c:f>碳酸锂!$H$66</c:f>
              <c:strCache>
                <c:ptCount val="1"/>
                <c:pt idx="0">
                  <c:v>动力电池碳酸锂消耗（万吨LCE）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cat>
            <c:strRef>
              <c:f>碳酸锂!$A$67:$A$77</c:f>
              <c:strCache>
                <c:ptCount val="11"/>
                <c:pt idx="0">
                  <c:v>2015年</c:v>
                </c:pt>
                <c:pt idx="1">
                  <c:v>2016年</c:v>
                </c:pt>
                <c:pt idx="2">
                  <c:v>2017年</c:v>
                </c:pt>
                <c:pt idx="3">
                  <c:v>2018年</c:v>
                </c:pt>
                <c:pt idx="4">
                  <c:v>2019年</c:v>
                </c:pt>
                <c:pt idx="5">
                  <c:v>2020年</c:v>
                </c:pt>
                <c:pt idx="6">
                  <c:v>2021年</c:v>
                </c:pt>
                <c:pt idx="7">
                  <c:v>2022年</c:v>
                </c:pt>
                <c:pt idx="8">
                  <c:v>2023年</c:v>
                </c:pt>
                <c:pt idx="9">
                  <c:v>2024年</c:v>
                </c:pt>
                <c:pt idx="10">
                  <c:v>2025年</c:v>
                </c:pt>
              </c:strCache>
            </c:strRef>
          </c:cat>
          <c:val>
            <c:numRef>
              <c:f>碳酸锂!$H$67:$H$77</c:f>
              <c:numCache>
                <c:formatCode>General</c:formatCode>
                <c:ptCount val="11"/>
                <c:pt idx="0">
                  <c:v>1.35</c:v>
                </c:pt>
                <c:pt idx="1">
                  <c:v>2.52</c:v>
                </c:pt>
                <c:pt idx="2">
                  <c:v>3.24</c:v>
                </c:pt>
                <c:pt idx="3">
                  <c:v>4.68</c:v>
                </c:pt>
                <c:pt idx="4">
                  <c:v>5.76</c:v>
                </c:pt>
                <c:pt idx="5">
                  <c:v>7.2</c:v>
                </c:pt>
                <c:pt idx="6">
                  <c:v>13.95</c:v>
                </c:pt>
                <c:pt idx="7">
                  <c:v>26.55</c:v>
                </c:pt>
                <c:pt idx="8">
                  <c:v>34.92</c:v>
                </c:pt>
                <c:pt idx="9">
                  <c:v>49.32</c:v>
                </c:pt>
                <c:pt idx="10">
                  <c:v>55.8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32D8-4370-AE7C-F8DD07B52471}"/>
            </c:ext>
          </c:extLst>
        </c:ser>
        <c:ser>
          <c:idx val="7"/>
          <c:order val="7"/>
          <c:tx>
            <c:strRef>
              <c:f>碳酸锂!$I$66</c:f>
              <c:strCache>
                <c:ptCount val="1"/>
                <c:pt idx="0">
                  <c:v>光储碳酸锂消耗（万吨LCE）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cat>
            <c:strRef>
              <c:f>碳酸锂!$A$67:$A$77</c:f>
              <c:strCache>
                <c:ptCount val="11"/>
                <c:pt idx="0">
                  <c:v>2015年</c:v>
                </c:pt>
                <c:pt idx="1">
                  <c:v>2016年</c:v>
                </c:pt>
                <c:pt idx="2">
                  <c:v>2017年</c:v>
                </c:pt>
                <c:pt idx="3">
                  <c:v>2018年</c:v>
                </c:pt>
                <c:pt idx="4">
                  <c:v>2019年</c:v>
                </c:pt>
                <c:pt idx="5">
                  <c:v>2020年</c:v>
                </c:pt>
                <c:pt idx="6">
                  <c:v>2021年</c:v>
                </c:pt>
                <c:pt idx="7">
                  <c:v>2022年</c:v>
                </c:pt>
                <c:pt idx="8">
                  <c:v>2023年</c:v>
                </c:pt>
                <c:pt idx="9">
                  <c:v>2024年</c:v>
                </c:pt>
                <c:pt idx="10">
                  <c:v>2025年</c:v>
                </c:pt>
              </c:strCache>
            </c:strRef>
          </c:cat>
          <c:val>
            <c:numRef>
              <c:f>碳酸锂!$I$67:$I$77</c:f>
              <c:numCache>
                <c:formatCode>General</c:formatCode>
                <c:ptCount val="11"/>
                <c:pt idx="0">
                  <c:v>0.05</c:v>
                </c:pt>
                <c:pt idx="1">
                  <c:v>0.12</c:v>
                </c:pt>
                <c:pt idx="2">
                  <c:v>0.2</c:v>
                </c:pt>
                <c:pt idx="3">
                  <c:v>0.35</c:v>
                </c:pt>
                <c:pt idx="4">
                  <c:v>0.5</c:v>
                </c:pt>
                <c:pt idx="5">
                  <c:v>0.8</c:v>
                </c:pt>
                <c:pt idx="6">
                  <c:v>1.5</c:v>
                </c:pt>
                <c:pt idx="7">
                  <c:v>2.8</c:v>
                </c:pt>
                <c:pt idx="8">
                  <c:v>4.5</c:v>
                </c:pt>
                <c:pt idx="9">
                  <c:v>6.8</c:v>
                </c:pt>
                <c:pt idx="10">
                  <c:v>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32D8-4370-AE7C-F8DD07B524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708607"/>
        <c:axId val="14711487"/>
      </c:lineChart>
      <c:catAx>
        <c:axId val="147086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4711487"/>
        <c:crosses val="autoZero"/>
        <c:auto val="1"/>
        <c:lblAlgn val="ctr"/>
        <c:lblOffset val="100"/>
        <c:noMultiLvlLbl val="0"/>
      </c:catAx>
      <c:valAx>
        <c:axId val="147114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47086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279400</xdr:colOff>
      <xdr:row>30</xdr:row>
      <xdr:rowOff>133350</xdr:rowOff>
    </xdr:from>
    <xdr:to>
      <xdr:col>6</xdr:col>
      <xdr:colOff>749300</xdr:colOff>
      <xdr:row>55</xdr:row>
      <xdr:rowOff>88900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85EF2AB2-5431-07F1-8721-6E1CA438F11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79</xdr:row>
      <xdr:rowOff>130174</xdr:rowOff>
    </xdr:from>
    <xdr:to>
      <xdr:col>10</xdr:col>
      <xdr:colOff>400050</xdr:colOff>
      <xdr:row>103</xdr:row>
      <xdr:rowOff>50799</xdr:rowOff>
    </xdr:to>
    <xdr:graphicFrame macro="">
      <xdr:nvGraphicFramePr>
        <xdr:cNvPr id="5" name="图表 4">
          <a:extLst>
            <a:ext uri="{FF2B5EF4-FFF2-40B4-BE49-F238E27FC236}">
              <a16:creationId xmlns:a16="http://schemas.microsoft.com/office/drawing/2014/main" id="{8DA8128D-6B9D-6664-835B-95AF91336CB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06EDEDF3-8419-4BAE-978F-F3EA374DB0E1}">
  <we:reference id="wa200000169" version="1.21.0.0" store="zh-CN" storeType="OMEX"/>
  <we:alternateReferences>
    <we:reference id="wa200000169" version="1.21.0.0" store="WA200000169" storeType="OMEX"/>
  </we:alternateReferences>
  <we:properties/>
  <we:bindings/>
  <we:snapshot xmlns:r="http://schemas.openxmlformats.org/officeDocument/2006/relationships"/>
  <we:extLst>
    <a:ext xmlns:a="http://schemas.openxmlformats.org/drawingml/2006/main" uri="{7C84B067-C214-45C3-A712-C9D94CD141B2}">
      <we:customFunctionIdList>
        <we:customFunctionIds>_xldudf_SAP_GETDIMENSIONFILTER</we:customFunctionIds>
        <we:customFunctionIds>_xldudf_SAP_OVERWRITEDIMENSIONFILTER</we:customFunctionIds>
        <we:customFunctionIds>_xldudf_SAP_GETDIMENSIONS</we:customFunctionIds>
        <we:customFunctionIds>_xldudf_SAP_GETTABLENAME</we:customFunctionIds>
        <we:customFunctionIds>_xldudf_SAP_GETTABLESTATUS</we:customFunctionIds>
        <we:customFunctionIds>_xldudf_SAP_GETDATA</we:customFunctionIds>
        <we:customFunctionIds>_xldudf_SAP_SETDATA</we:customFunctionIds>
        <we:customFunctionIds>_xldudf_SAP_GETPLANNINGTRIGGERNAME</we:customFunctionIds>
        <we:customFunctionIds>_xldudf_SAP_GETPLANNINGTRIGGERPARAMETERS</we:customFunctionIds>
        <we:customFunctionIds>_xldudf_SAP_GETPLANNINGTRIGGERPARAMETERVALUE</we:customFunctionIds>
        <we:customFunctionIds>_xldudf_SAP_TIMEOFFSET</we:customFunctionIds>
        <we:customFunctionIds>_xldudf_SAP_MEMBERPROPERTY</we:customFunctionIds>
        <we:customFunctionIds>_xldudf_SAP_GETVARIABLES</we:customFunctionIds>
        <we:customFunctionIds>_xldudf_SAP_ASYMMETRICFILTER</we:customFunctionIds>
        <we:customFunctionIds>_xldudf_SAP_BLOCK</we:customFunctionIds>
        <we:customFunctionIds>_xldudf_SAP_EXECUTEAPI</we:customFunctionIds>
        <we:customFunctionIds>_xldudf_SAP_GETDATACOMMENT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10F94A-8DBF-4AC3-B25E-8D0E27BC5A4B}">
  <dimension ref="A1:R121"/>
  <sheetViews>
    <sheetView tabSelected="1" topLeftCell="A103" zoomScaleNormal="100" workbookViewId="0">
      <selection activeCell="H119" sqref="H119"/>
    </sheetView>
  </sheetViews>
  <sheetFormatPr defaultRowHeight="14" x14ac:dyDescent="0.3"/>
  <cols>
    <col min="1" max="1" width="7.4140625" customWidth="1"/>
    <col min="2" max="2" width="24.83203125" customWidth="1"/>
    <col min="3" max="3" width="24.33203125" customWidth="1"/>
    <col min="4" max="4" width="11" customWidth="1"/>
    <col min="5" max="5" width="23" customWidth="1"/>
    <col min="6" max="6" width="21.25" customWidth="1"/>
    <col min="7" max="7" width="23.33203125" customWidth="1"/>
    <col min="8" max="8" width="16.6640625" customWidth="1"/>
    <col min="9" max="9" width="13.25" customWidth="1"/>
    <col min="10" max="10" width="15.4140625" customWidth="1"/>
  </cols>
  <sheetData>
    <row r="1" spans="1:4" ht="19.5" customHeight="1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 t="s">
        <v>5</v>
      </c>
      <c r="C2" t="s">
        <v>5</v>
      </c>
      <c r="D2" t="s">
        <v>5</v>
      </c>
    </row>
    <row r="3" spans="1:4" x14ac:dyDescent="0.3">
      <c r="A3" t="s">
        <v>6</v>
      </c>
      <c r="B3" t="s">
        <v>5</v>
      </c>
      <c r="C3" t="s">
        <v>5</v>
      </c>
      <c r="D3" t="s">
        <v>5</v>
      </c>
    </row>
    <row r="4" spans="1:4" x14ac:dyDescent="0.3">
      <c r="A4" t="s">
        <v>7</v>
      </c>
      <c r="B4" t="s">
        <v>5</v>
      </c>
      <c r="C4" t="s">
        <v>5</v>
      </c>
      <c r="D4" t="s">
        <v>5</v>
      </c>
    </row>
    <row r="5" spans="1:4" x14ac:dyDescent="0.3">
      <c r="A5" t="s">
        <v>8</v>
      </c>
      <c r="B5" t="s">
        <v>5</v>
      </c>
      <c r="C5" t="s">
        <v>5</v>
      </c>
      <c r="D5" t="s">
        <v>5</v>
      </c>
    </row>
    <row r="6" spans="1:4" x14ac:dyDescent="0.3">
      <c r="A6" t="s">
        <v>9</v>
      </c>
      <c r="B6" t="s">
        <v>5</v>
      </c>
      <c r="C6" t="s">
        <v>5</v>
      </c>
      <c r="D6" t="s">
        <v>5</v>
      </c>
    </row>
    <row r="7" spans="1:4" x14ac:dyDescent="0.3">
      <c r="A7" t="s">
        <v>10</v>
      </c>
      <c r="B7" t="s">
        <v>5</v>
      </c>
      <c r="C7" t="s">
        <v>5</v>
      </c>
      <c r="D7" t="s">
        <v>5</v>
      </c>
    </row>
    <row r="8" spans="1:4" x14ac:dyDescent="0.3">
      <c r="A8" t="s">
        <v>11</v>
      </c>
      <c r="B8" t="s">
        <v>5</v>
      </c>
      <c r="C8" t="s">
        <v>5</v>
      </c>
      <c r="D8" t="s">
        <v>5</v>
      </c>
    </row>
    <row r="9" spans="1:4" x14ac:dyDescent="0.3">
      <c r="A9" t="s">
        <v>12</v>
      </c>
      <c r="B9" t="s">
        <v>5</v>
      </c>
      <c r="C9" t="s">
        <v>5</v>
      </c>
      <c r="D9" t="s">
        <v>5</v>
      </c>
    </row>
    <row r="10" spans="1:4" x14ac:dyDescent="0.3">
      <c r="A10" t="s">
        <v>13</v>
      </c>
      <c r="B10" t="s">
        <v>5</v>
      </c>
      <c r="C10" t="s">
        <v>5</v>
      </c>
      <c r="D10" t="s">
        <v>5</v>
      </c>
    </row>
    <row r="11" spans="1:4" x14ac:dyDescent="0.3">
      <c r="A11" t="s">
        <v>14</v>
      </c>
      <c r="B11" t="s">
        <v>5</v>
      </c>
      <c r="C11" t="s">
        <v>5</v>
      </c>
      <c r="D11" t="s">
        <v>5</v>
      </c>
    </row>
    <row r="12" spans="1:4" x14ac:dyDescent="0.3">
      <c r="A12" t="s">
        <v>15</v>
      </c>
      <c r="B12" t="s">
        <v>5</v>
      </c>
      <c r="C12" t="s">
        <v>5</v>
      </c>
      <c r="D12" t="s">
        <v>5</v>
      </c>
    </row>
    <row r="13" spans="1:4" x14ac:dyDescent="0.3">
      <c r="A13" t="s">
        <v>16</v>
      </c>
      <c r="B13" t="s">
        <v>5</v>
      </c>
      <c r="C13" t="s">
        <v>5</v>
      </c>
      <c r="D13" t="s">
        <v>5</v>
      </c>
    </row>
    <row r="18" spans="1:7" x14ac:dyDescent="0.3">
      <c r="A18" s="3" t="s">
        <v>26</v>
      </c>
      <c r="B18" s="3"/>
      <c r="C18" s="3"/>
      <c r="D18" s="3"/>
      <c r="E18" s="3"/>
      <c r="F18" s="3"/>
      <c r="G18" s="3"/>
    </row>
    <row r="19" spans="1:7" x14ac:dyDescent="0.3">
      <c r="A19" s="1" t="s">
        <v>17</v>
      </c>
      <c r="B19" s="1" t="s">
        <v>18</v>
      </c>
      <c r="C19" s="1" t="s">
        <v>19</v>
      </c>
      <c r="D19" s="1" t="s">
        <v>20</v>
      </c>
      <c r="E19" s="1" t="s">
        <v>21</v>
      </c>
      <c r="F19" s="1" t="s">
        <v>22</v>
      </c>
      <c r="G19" s="1" t="s">
        <v>23</v>
      </c>
    </row>
    <row r="20" spans="1:7" x14ac:dyDescent="0.3">
      <c r="A20" s="2">
        <v>2015</v>
      </c>
      <c r="B20" s="2">
        <v>53.6</v>
      </c>
      <c r="C20" s="2">
        <v>15.1</v>
      </c>
      <c r="D20" s="2">
        <v>28.2</v>
      </c>
      <c r="E20" s="2">
        <v>18.5</v>
      </c>
      <c r="F20" s="2">
        <v>22.3</v>
      </c>
      <c r="G20" s="2" t="s">
        <v>24</v>
      </c>
    </row>
    <row r="21" spans="1:7" x14ac:dyDescent="0.3">
      <c r="A21" s="2">
        <v>2016</v>
      </c>
      <c r="B21" s="2">
        <v>73.8</v>
      </c>
      <c r="C21" s="2">
        <v>34.5</v>
      </c>
      <c r="D21" s="2">
        <v>46.8</v>
      </c>
      <c r="E21" s="2">
        <v>21.2</v>
      </c>
      <c r="F21" s="2">
        <v>25.7</v>
      </c>
      <c r="G21" s="2" t="s">
        <v>24</v>
      </c>
    </row>
    <row r="22" spans="1:7" x14ac:dyDescent="0.3">
      <c r="A22" s="2">
        <v>2017</v>
      </c>
      <c r="B22" s="2">
        <v>98.9</v>
      </c>
      <c r="C22" s="2">
        <v>53.1</v>
      </c>
      <c r="D22" s="2">
        <v>53.7</v>
      </c>
      <c r="E22" s="2">
        <v>24.8</v>
      </c>
      <c r="F22" s="2">
        <v>29.1</v>
      </c>
      <c r="G22" s="2" t="s">
        <v>24</v>
      </c>
    </row>
    <row r="23" spans="1:7" x14ac:dyDescent="0.3">
      <c r="A23" s="2">
        <v>2018</v>
      </c>
      <c r="B23" s="2">
        <v>103</v>
      </c>
      <c r="C23" s="2">
        <v>44.3</v>
      </c>
      <c r="D23" s="2">
        <v>43</v>
      </c>
      <c r="E23" s="2">
        <v>27.5</v>
      </c>
      <c r="F23" s="2">
        <v>32.4</v>
      </c>
      <c r="G23" s="2" t="s">
        <v>24</v>
      </c>
    </row>
    <row r="24" spans="1:7" x14ac:dyDescent="0.3">
      <c r="A24" s="2">
        <v>2019</v>
      </c>
      <c r="B24" s="2">
        <v>115</v>
      </c>
      <c r="C24" s="2">
        <v>30.1</v>
      </c>
      <c r="D24" s="2">
        <v>26.2</v>
      </c>
      <c r="E24" s="2">
        <v>31</v>
      </c>
      <c r="F24" s="2">
        <v>36.799999999999997</v>
      </c>
      <c r="G24" s="2" t="s">
        <v>24</v>
      </c>
    </row>
    <row r="25" spans="1:7" x14ac:dyDescent="0.3">
      <c r="A25" s="2">
        <v>2020</v>
      </c>
      <c r="B25" s="2">
        <v>138</v>
      </c>
      <c r="C25" s="2">
        <v>48.2</v>
      </c>
      <c r="D25" s="2">
        <v>34.9</v>
      </c>
      <c r="E25" s="2">
        <v>38.700000000000003</v>
      </c>
      <c r="F25" s="2">
        <v>45.2</v>
      </c>
      <c r="G25" s="2" t="s">
        <v>24</v>
      </c>
    </row>
    <row r="26" spans="1:7" x14ac:dyDescent="0.3">
      <c r="A26" s="2">
        <v>2021</v>
      </c>
      <c r="B26" s="2">
        <v>175</v>
      </c>
      <c r="C26" s="2">
        <v>54.9</v>
      </c>
      <c r="D26" s="2">
        <v>31.4</v>
      </c>
      <c r="E26" s="2">
        <v>49.5</v>
      </c>
      <c r="F26" s="2">
        <v>58.6</v>
      </c>
      <c r="G26" s="2" t="s">
        <v>24</v>
      </c>
    </row>
    <row r="27" spans="1:7" x14ac:dyDescent="0.3">
      <c r="A27" s="2">
        <v>2022</v>
      </c>
      <c r="B27" s="2">
        <v>236</v>
      </c>
      <c r="C27" s="2">
        <v>87.4</v>
      </c>
      <c r="D27" s="2">
        <v>37</v>
      </c>
      <c r="E27" s="2">
        <v>58.2</v>
      </c>
      <c r="F27" s="2">
        <v>65.3</v>
      </c>
      <c r="G27" s="2" t="s">
        <v>24</v>
      </c>
    </row>
    <row r="28" spans="1:7" x14ac:dyDescent="0.3">
      <c r="A28" s="2">
        <v>2023</v>
      </c>
      <c r="B28" s="2">
        <v>306</v>
      </c>
      <c r="C28" s="2">
        <v>219.6</v>
      </c>
      <c r="D28" s="2">
        <v>71.8</v>
      </c>
      <c r="E28" s="2">
        <v>65</v>
      </c>
      <c r="F28" s="2">
        <v>72</v>
      </c>
      <c r="G28" s="2" t="s">
        <v>25</v>
      </c>
    </row>
    <row r="29" spans="1:7" x14ac:dyDescent="0.3">
      <c r="A29" s="2">
        <v>2024</v>
      </c>
      <c r="B29">
        <v>451.9</v>
      </c>
      <c r="C29" s="2">
        <v>278</v>
      </c>
      <c r="D29" s="2">
        <v>61.5</v>
      </c>
      <c r="E29" s="2">
        <v>70</v>
      </c>
      <c r="F29" s="2">
        <v>75</v>
      </c>
      <c r="G29" s="2" t="s">
        <v>25</v>
      </c>
    </row>
    <row r="30" spans="1:7" x14ac:dyDescent="0.3">
      <c r="A30" s="4">
        <v>2025</v>
      </c>
      <c r="C30" s="4"/>
    </row>
    <row r="66" spans="1:16" x14ac:dyDescent="0.3">
      <c r="A66" s="1" t="s">
        <v>17</v>
      </c>
      <c r="B66" s="1" t="s">
        <v>38</v>
      </c>
      <c r="C66" s="1" t="s">
        <v>39</v>
      </c>
      <c r="D66" s="1" t="s">
        <v>68</v>
      </c>
      <c r="E66" s="1" t="s">
        <v>69</v>
      </c>
      <c r="F66" s="1" t="s">
        <v>70</v>
      </c>
      <c r="G66" s="1" t="s">
        <v>71</v>
      </c>
      <c r="H66" s="1" t="s">
        <v>77</v>
      </c>
      <c r="I66" s="1" t="s">
        <v>78</v>
      </c>
      <c r="J66" s="1" t="s">
        <v>79</v>
      </c>
      <c r="K66" s="1" t="s">
        <v>72</v>
      </c>
      <c r="L66" s="1" t="s">
        <v>73</v>
      </c>
      <c r="M66" s="1" t="s">
        <v>80</v>
      </c>
      <c r="N66" s="1" t="s">
        <v>40</v>
      </c>
      <c r="O66" s="1" t="s">
        <v>27</v>
      </c>
      <c r="P66" s="2"/>
    </row>
    <row r="67" spans="1:16" x14ac:dyDescent="0.3">
      <c r="A67" s="2" t="s">
        <v>41</v>
      </c>
      <c r="B67" s="2">
        <v>5.2</v>
      </c>
      <c r="C67" s="2">
        <v>4.8</v>
      </c>
      <c r="D67" s="2">
        <v>16</v>
      </c>
      <c r="E67" s="2">
        <v>8</v>
      </c>
      <c r="F67" s="2">
        <v>14</v>
      </c>
      <c r="G67" s="2">
        <v>7</v>
      </c>
      <c r="H67" s="2">
        <v>1.35</v>
      </c>
      <c r="I67" s="2">
        <v>0.05</v>
      </c>
      <c r="J67" s="2">
        <v>1.4</v>
      </c>
      <c r="K67" s="2">
        <v>15</v>
      </c>
      <c r="L67" s="2">
        <v>0.5</v>
      </c>
      <c r="M67" s="6">
        <v>0.2</v>
      </c>
      <c r="N67" s="2" t="s">
        <v>42</v>
      </c>
      <c r="O67" s="2" t="s">
        <v>28</v>
      </c>
      <c r="P67" s="2"/>
    </row>
    <row r="68" spans="1:16" x14ac:dyDescent="0.3">
      <c r="A68" s="2" t="s">
        <v>43</v>
      </c>
      <c r="B68" s="2">
        <v>12.5</v>
      </c>
      <c r="C68" s="2">
        <v>11.8</v>
      </c>
      <c r="D68" s="2">
        <v>22</v>
      </c>
      <c r="E68" s="2">
        <v>12</v>
      </c>
      <c r="F68" s="2">
        <v>18</v>
      </c>
      <c r="G68" s="2">
        <v>9</v>
      </c>
      <c r="H68" s="2">
        <v>2.52</v>
      </c>
      <c r="I68" s="2">
        <v>0.12</v>
      </c>
      <c r="J68" s="2">
        <v>2.64</v>
      </c>
      <c r="K68" s="2">
        <v>28</v>
      </c>
      <c r="L68" s="2">
        <v>1.2</v>
      </c>
      <c r="M68" s="6">
        <v>0.29299999999999998</v>
      </c>
      <c r="N68" s="2" t="s">
        <v>44</v>
      </c>
      <c r="O68" s="2" t="s">
        <v>29</v>
      </c>
      <c r="P68" s="2"/>
    </row>
    <row r="69" spans="1:16" x14ac:dyDescent="0.3">
      <c r="A69" s="2" t="s">
        <v>45</v>
      </c>
      <c r="B69" s="2">
        <v>16.2</v>
      </c>
      <c r="C69" s="2">
        <v>15.5</v>
      </c>
      <c r="D69" s="2">
        <v>28</v>
      </c>
      <c r="E69" s="2">
        <v>15</v>
      </c>
      <c r="F69" s="2">
        <v>24</v>
      </c>
      <c r="G69" s="2">
        <v>12</v>
      </c>
      <c r="H69" s="2">
        <v>3.24</v>
      </c>
      <c r="I69" s="2">
        <v>0.2</v>
      </c>
      <c r="J69" s="2">
        <v>3.44</v>
      </c>
      <c r="K69" s="2">
        <v>36</v>
      </c>
      <c r="L69" s="2">
        <v>2</v>
      </c>
      <c r="M69" s="6">
        <v>0.28699999999999998</v>
      </c>
      <c r="N69" s="2" t="s">
        <v>46</v>
      </c>
      <c r="O69" s="2" t="s">
        <v>30</v>
      </c>
      <c r="P69" s="2"/>
    </row>
    <row r="70" spans="1:16" x14ac:dyDescent="0.3">
      <c r="A70" s="2" t="s">
        <v>47</v>
      </c>
      <c r="B70" s="2">
        <v>12.8</v>
      </c>
      <c r="C70" s="2">
        <v>12.1</v>
      </c>
      <c r="D70" s="2">
        <v>35</v>
      </c>
      <c r="E70" s="2">
        <v>20</v>
      </c>
      <c r="F70" s="2">
        <v>30</v>
      </c>
      <c r="G70" s="2">
        <v>16</v>
      </c>
      <c r="H70" s="2">
        <v>4.68</v>
      </c>
      <c r="I70" s="2">
        <v>0.35</v>
      </c>
      <c r="J70" s="2">
        <v>5.03</v>
      </c>
      <c r="K70" s="2">
        <v>52</v>
      </c>
      <c r="L70" s="2">
        <v>3.5</v>
      </c>
      <c r="M70" s="6">
        <v>0.314</v>
      </c>
      <c r="N70" s="2" t="s">
        <v>48</v>
      </c>
      <c r="O70" s="2" t="s">
        <v>31</v>
      </c>
      <c r="P70" s="2"/>
    </row>
    <row r="71" spans="1:16" x14ac:dyDescent="0.3">
      <c r="A71" s="2" t="s">
        <v>49</v>
      </c>
      <c r="B71" s="2">
        <v>6.5</v>
      </c>
      <c r="C71" s="2">
        <v>6</v>
      </c>
      <c r="D71" s="2">
        <v>40</v>
      </c>
      <c r="E71" s="2">
        <v>22</v>
      </c>
      <c r="F71" s="2">
        <v>32</v>
      </c>
      <c r="G71" s="2">
        <v>18</v>
      </c>
      <c r="H71" s="2">
        <v>5.76</v>
      </c>
      <c r="I71" s="2">
        <v>0.5</v>
      </c>
      <c r="J71" s="2">
        <v>6.26</v>
      </c>
      <c r="K71" s="2">
        <v>64</v>
      </c>
      <c r="L71" s="2">
        <v>5</v>
      </c>
      <c r="M71" s="6">
        <v>0.34799999999999998</v>
      </c>
      <c r="N71" s="2" t="s">
        <v>50</v>
      </c>
      <c r="O71" s="2" t="s">
        <v>32</v>
      </c>
      <c r="P71" s="2"/>
    </row>
    <row r="72" spans="1:16" x14ac:dyDescent="0.3">
      <c r="A72" s="2" t="s">
        <v>51</v>
      </c>
      <c r="B72" s="2">
        <v>4.5</v>
      </c>
      <c r="C72" s="2">
        <v>4.2</v>
      </c>
      <c r="D72" s="2">
        <v>45</v>
      </c>
      <c r="E72" s="2">
        <v>25</v>
      </c>
      <c r="F72" s="2">
        <v>35</v>
      </c>
      <c r="G72" s="2">
        <v>20</v>
      </c>
      <c r="H72" s="2">
        <v>7.2</v>
      </c>
      <c r="I72" s="2">
        <v>0.8</v>
      </c>
      <c r="J72" s="2">
        <v>8</v>
      </c>
      <c r="K72" s="2">
        <v>80</v>
      </c>
      <c r="L72" s="2">
        <v>8</v>
      </c>
      <c r="M72" s="6">
        <v>0.4</v>
      </c>
      <c r="N72" s="2" t="s">
        <v>52</v>
      </c>
      <c r="O72" s="2" t="s">
        <v>33</v>
      </c>
      <c r="P72" s="2"/>
    </row>
    <row r="73" spans="1:16" x14ac:dyDescent="0.3">
      <c r="A73" s="2" t="s">
        <v>53</v>
      </c>
      <c r="B73" s="2">
        <v>18.3</v>
      </c>
      <c r="C73" s="2">
        <v>17.5</v>
      </c>
      <c r="D73" s="2">
        <v>70</v>
      </c>
      <c r="E73" s="2">
        <v>40</v>
      </c>
      <c r="F73" s="2">
        <v>60</v>
      </c>
      <c r="G73" s="2">
        <v>35</v>
      </c>
      <c r="H73" s="2">
        <v>13.95</v>
      </c>
      <c r="I73" s="2">
        <v>1.5</v>
      </c>
      <c r="J73" s="2">
        <v>15.45</v>
      </c>
      <c r="K73" s="2">
        <v>155</v>
      </c>
      <c r="L73" s="2">
        <v>15</v>
      </c>
      <c r="M73" s="6">
        <v>0.441</v>
      </c>
      <c r="N73" s="2" t="s">
        <v>54</v>
      </c>
      <c r="O73" s="2" t="s">
        <v>34</v>
      </c>
      <c r="P73" s="2"/>
    </row>
    <row r="74" spans="1:16" x14ac:dyDescent="0.3">
      <c r="A74" s="2" t="s">
        <v>55</v>
      </c>
      <c r="B74" s="2">
        <v>41.7</v>
      </c>
      <c r="C74" s="2">
        <v>40.200000000000003</v>
      </c>
      <c r="D74" s="2">
        <v>90</v>
      </c>
      <c r="E74" s="2">
        <v>55</v>
      </c>
      <c r="F74" s="2">
        <v>80</v>
      </c>
      <c r="G74" s="2">
        <v>48</v>
      </c>
      <c r="H74" s="2">
        <v>26.55</v>
      </c>
      <c r="I74" s="2">
        <v>2.8</v>
      </c>
      <c r="J74" s="2">
        <v>29.35</v>
      </c>
      <c r="K74" s="2">
        <v>295</v>
      </c>
      <c r="L74" s="2">
        <v>28</v>
      </c>
      <c r="M74" s="6">
        <v>0.61099999999999999</v>
      </c>
      <c r="N74" s="2" t="s">
        <v>56</v>
      </c>
      <c r="O74" s="2" t="s">
        <v>57</v>
      </c>
      <c r="P74" s="2"/>
    </row>
    <row r="75" spans="1:16" x14ac:dyDescent="0.3">
      <c r="A75" s="2" t="s">
        <v>58</v>
      </c>
      <c r="B75" s="2">
        <v>26.6</v>
      </c>
      <c r="C75" s="2">
        <v>25.8</v>
      </c>
      <c r="D75" s="2">
        <v>120</v>
      </c>
      <c r="E75" s="2">
        <v>70</v>
      </c>
      <c r="F75" s="2">
        <v>100</v>
      </c>
      <c r="G75" s="2">
        <v>60</v>
      </c>
      <c r="H75" s="2">
        <v>34.92</v>
      </c>
      <c r="I75" s="2">
        <v>4.5</v>
      </c>
      <c r="J75" s="2">
        <v>39.42</v>
      </c>
      <c r="K75" s="2">
        <v>388</v>
      </c>
      <c r="L75" s="2">
        <v>45</v>
      </c>
      <c r="M75" s="6">
        <v>0.65700000000000003</v>
      </c>
      <c r="N75" s="2" t="s">
        <v>59</v>
      </c>
      <c r="O75" s="2" t="s">
        <v>35</v>
      </c>
      <c r="P75" s="2"/>
    </row>
    <row r="76" spans="1:16" x14ac:dyDescent="0.3">
      <c r="A76" s="2" t="s">
        <v>60</v>
      </c>
      <c r="B76" s="2">
        <v>9.1</v>
      </c>
      <c r="C76" s="2">
        <v>8.6999999999999993</v>
      </c>
      <c r="D76" s="2">
        <v>150</v>
      </c>
      <c r="E76" s="2">
        <v>90</v>
      </c>
      <c r="F76" s="2">
        <v>120</v>
      </c>
      <c r="G76" s="2">
        <v>70</v>
      </c>
      <c r="H76" s="2">
        <v>49.32</v>
      </c>
      <c r="I76" s="2">
        <v>6.8</v>
      </c>
      <c r="J76" s="2">
        <v>56.12</v>
      </c>
      <c r="K76" s="2">
        <v>548</v>
      </c>
      <c r="L76" s="2">
        <v>68</v>
      </c>
      <c r="M76" s="6">
        <v>0.80200000000000005</v>
      </c>
      <c r="N76" s="2" t="s">
        <v>61</v>
      </c>
      <c r="O76" s="2" t="s">
        <v>36</v>
      </c>
      <c r="P76" s="2"/>
    </row>
    <row r="77" spans="1:16" x14ac:dyDescent="0.3">
      <c r="A77" s="2" t="s">
        <v>62</v>
      </c>
      <c r="B77" s="2">
        <v>8.1999999999999993</v>
      </c>
      <c r="C77" s="2">
        <v>7.9</v>
      </c>
      <c r="D77" s="2">
        <v>161</v>
      </c>
      <c r="E77" s="2">
        <v>97</v>
      </c>
      <c r="F77" s="2">
        <v>154</v>
      </c>
      <c r="G77" s="2">
        <v>85</v>
      </c>
      <c r="H77" s="2">
        <v>55.8</v>
      </c>
      <c r="I77" s="2">
        <v>12</v>
      </c>
      <c r="J77" s="2">
        <v>67.8</v>
      </c>
      <c r="K77" s="2">
        <v>620</v>
      </c>
      <c r="L77" s="2">
        <v>120</v>
      </c>
      <c r="M77" s="6">
        <v>0.79800000000000004</v>
      </c>
      <c r="N77" s="2" t="s">
        <v>63</v>
      </c>
      <c r="O77" s="2" t="s">
        <v>37</v>
      </c>
      <c r="P77" s="2"/>
    </row>
    <row r="78" spans="1:16" x14ac:dyDescent="0.3">
      <c r="A78" s="2" t="s">
        <v>64</v>
      </c>
      <c r="B78" s="2">
        <v>17.100000000000001</v>
      </c>
      <c r="C78" s="2">
        <v>16.100000000000001</v>
      </c>
      <c r="D78" s="2" t="s">
        <v>74</v>
      </c>
      <c r="E78" s="2" t="s">
        <v>65</v>
      </c>
      <c r="F78" s="2" t="s">
        <v>75</v>
      </c>
      <c r="G78" s="2" t="s">
        <v>76</v>
      </c>
      <c r="H78" s="2">
        <v>63</v>
      </c>
      <c r="I78" s="2">
        <v>15</v>
      </c>
      <c r="J78" s="2">
        <v>78</v>
      </c>
      <c r="K78" s="2" t="s">
        <v>81</v>
      </c>
      <c r="L78" s="2" t="s">
        <v>82</v>
      </c>
      <c r="M78" s="6">
        <v>0.82099999999999995</v>
      </c>
      <c r="N78" s="2" t="s">
        <v>66</v>
      </c>
      <c r="O78" s="2" t="s">
        <v>67</v>
      </c>
      <c r="P78" s="2"/>
    </row>
    <row r="109" spans="1:18" x14ac:dyDescent="0.3">
      <c r="A109" t="s">
        <v>17</v>
      </c>
      <c r="B109" t="s">
        <v>38</v>
      </c>
      <c r="C109" t="s">
        <v>68</v>
      </c>
      <c r="D109" t="s">
        <v>69</v>
      </c>
      <c r="E109" t="s">
        <v>70</v>
      </c>
      <c r="F109" t="s">
        <v>71</v>
      </c>
      <c r="G109" t="s">
        <v>77</v>
      </c>
      <c r="H109" t="s">
        <v>78</v>
      </c>
      <c r="I109" t="s">
        <v>83</v>
      </c>
      <c r="J109" t="s">
        <v>84</v>
      </c>
      <c r="K109" t="s">
        <v>85</v>
      </c>
      <c r="L109" t="s">
        <v>79</v>
      </c>
      <c r="M109" t="s">
        <v>80</v>
      </c>
      <c r="N109" t="s">
        <v>72</v>
      </c>
      <c r="O109" t="s">
        <v>73</v>
      </c>
      <c r="P109" t="s">
        <v>40</v>
      </c>
      <c r="Q109" t="s">
        <v>27</v>
      </c>
    </row>
    <row r="110" spans="1:18" x14ac:dyDescent="0.3">
      <c r="A110" t="s">
        <v>41</v>
      </c>
      <c r="B110">
        <v>5.2</v>
      </c>
      <c r="C110">
        <v>16</v>
      </c>
      <c r="D110">
        <v>8</v>
      </c>
      <c r="E110">
        <v>14</v>
      </c>
      <c r="F110">
        <v>7</v>
      </c>
      <c r="G110">
        <v>1.35</v>
      </c>
      <c r="H110">
        <v>0.05</v>
      </c>
      <c r="I110">
        <v>1.2</v>
      </c>
      <c r="J110">
        <v>1.4</v>
      </c>
      <c r="K110">
        <v>3</v>
      </c>
      <c r="L110">
        <v>1.4</v>
      </c>
      <c r="M110" s="5">
        <v>0.2</v>
      </c>
      <c r="N110">
        <v>15</v>
      </c>
      <c r="O110">
        <v>0.5</v>
      </c>
      <c r="P110" t="s">
        <v>42</v>
      </c>
      <c r="Q110" t="s">
        <v>28</v>
      </c>
      <c r="R110" t="s">
        <v>86</v>
      </c>
    </row>
    <row r="111" spans="1:18" x14ac:dyDescent="0.3">
      <c r="A111" t="s">
        <v>43</v>
      </c>
      <c r="B111">
        <v>12.5</v>
      </c>
      <c r="C111">
        <v>22</v>
      </c>
      <c r="D111">
        <v>12</v>
      </c>
      <c r="E111">
        <v>18</v>
      </c>
      <c r="F111">
        <v>9</v>
      </c>
      <c r="G111">
        <v>2.52</v>
      </c>
      <c r="H111">
        <v>0.12</v>
      </c>
      <c r="I111">
        <v>1.5</v>
      </c>
      <c r="J111">
        <v>1.85</v>
      </c>
      <c r="K111">
        <v>3.05</v>
      </c>
      <c r="L111">
        <v>2.64</v>
      </c>
      <c r="M111" s="5">
        <v>0.29299999999999998</v>
      </c>
      <c r="N111">
        <v>28</v>
      </c>
      <c r="O111">
        <v>1.2</v>
      </c>
      <c r="P111" t="s">
        <v>44</v>
      </c>
      <c r="Q111" t="s">
        <v>29</v>
      </c>
      <c r="R111" t="s">
        <v>87</v>
      </c>
    </row>
    <row r="112" spans="1:18" x14ac:dyDescent="0.3">
      <c r="A112" t="s">
        <v>45</v>
      </c>
      <c r="B112">
        <v>16.2</v>
      </c>
      <c r="C112">
        <v>28</v>
      </c>
      <c r="D112">
        <v>15</v>
      </c>
      <c r="E112">
        <v>24</v>
      </c>
      <c r="F112">
        <v>12</v>
      </c>
      <c r="G112">
        <v>3.24</v>
      </c>
      <c r="H112">
        <v>0.2</v>
      </c>
      <c r="I112">
        <v>2</v>
      </c>
      <c r="J112">
        <v>2.56</v>
      </c>
      <c r="K112">
        <v>4</v>
      </c>
      <c r="L112">
        <v>3.44</v>
      </c>
      <c r="M112" s="5">
        <v>0.28699999999999998</v>
      </c>
      <c r="N112">
        <v>36</v>
      </c>
      <c r="O112">
        <v>2</v>
      </c>
      <c r="P112" t="s">
        <v>46</v>
      </c>
      <c r="Q112" t="s">
        <v>30</v>
      </c>
      <c r="R112" t="s">
        <v>88</v>
      </c>
    </row>
    <row r="113" spans="1:18" x14ac:dyDescent="0.3">
      <c r="A113" t="s">
        <v>47</v>
      </c>
      <c r="B113">
        <v>12.8</v>
      </c>
      <c r="C113">
        <v>35</v>
      </c>
      <c r="D113">
        <v>20</v>
      </c>
      <c r="E113">
        <v>30</v>
      </c>
      <c r="F113">
        <v>16</v>
      </c>
      <c r="G113">
        <v>4.68</v>
      </c>
      <c r="H113">
        <v>0.35</v>
      </c>
      <c r="I113">
        <v>2.5</v>
      </c>
      <c r="J113">
        <v>3.47</v>
      </c>
      <c r="K113">
        <v>5</v>
      </c>
      <c r="L113">
        <v>5.03</v>
      </c>
      <c r="M113" s="5">
        <v>0.314</v>
      </c>
      <c r="N113">
        <v>52</v>
      </c>
      <c r="O113">
        <v>3.5</v>
      </c>
      <c r="P113" t="s">
        <v>48</v>
      </c>
      <c r="Q113" t="s">
        <v>31</v>
      </c>
      <c r="R113" t="s">
        <v>89</v>
      </c>
    </row>
    <row r="114" spans="1:18" x14ac:dyDescent="0.3">
      <c r="A114" t="s">
        <v>49</v>
      </c>
      <c r="B114">
        <v>6.5</v>
      </c>
      <c r="C114">
        <v>40</v>
      </c>
      <c r="D114">
        <v>22</v>
      </c>
      <c r="E114">
        <v>32</v>
      </c>
      <c r="F114">
        <v>18</v>
      </c>
      <c r="G114">
        <v>5.76</v>
      </c>
      <c r="H114">
        <v>0.5</v>
      </c>
      <c r="I114">
        <v>3</v>
      </c>
      <c r="J114">
        <v>3.74</v>
      </c>
      <c r="K114">
        <v>5</v>
      </c>
      <c r="L114">
        <v>6.26</v>
      </c>
      <c r="M114" s="5">
        <v>0.34799999999999998</v>
      </c>
      <c r="N114">
        <v>64</v>
      </c>
      <c r="O114">
        <v>5</v>
      </c>
      <c r="P114" t="s">
        <v>50</v>
      </c>
      <c r="Q114" t="s">
        <v>32</v>
      </c>
      <c r="R114" t="s">
        <v>88</v>
      </c>
    </row>
    <row r="115" spans="1:18" x14ac:dyDescent="0.3">
      <c r="A115" t="s">
        <v>51</v>
      </c>
      <c r="B115">
        <v>4.5</v>
      </c>
      <c r="C115">
        <v>45</v>
      </c>
      <c r="D115">
        <v>25</v>
      </c>
      <c r="E115">
        <v>35</v>
      </c>
      <c r="F115">
        <v>20</v>
      </c>
      <c r="G115">
        <v>7.2</v>
      </c>
      <c r="H115">
        <v>0.8</v>
      </c>
      <c r="I115">
        <v>3.5</v>
      </c>
      <c r="J115">
        <v>4</v>
      </c>
      <c r="K115">
        <v>4.5</v>
      </c>
      <c r="L115">
        <v>8</v>
      </c>
      <c r="M115" s="5">
        <v>0.4</v>
      </c>
      <c r="N115">
        <v>80</v>
      </c>
      <c r="O115">
        <v>8</v>
      </c>
      <c r="P115" t="s">
        <v>52</v>
      </c>
      <c r="Q115" t="s">
        <v>33</v>
      </c>
      <c r="R115" t="s">
        <v>90</v>
      </c>
    </row>
    <row r="116" spans="1:18" x14ac:dyDescent="0.3">
      <c r="A116" t="s">
        <v>53</v>
      </c>
      <c r="B116">
        <v>18.3</v>
      </c>
      <c r="C116">
        <v>70</v>
      </c>
      <c r="D116">
        <v>40</v>
      </c>
      <c r="E116">
        <v>60</v>
      </c>
      <c r="F116">
        <v>35</v>
      </c>
      <c r="G116">
        <v>13.95</v>
      </c>
      <c r="H116">
        <v>1.5</v>
      </c>
      <c r="I116">
        <v>6</v>
      </c>
      <c r="J116">
        <v>5.55</v>
      </c>
      <c r="K116">
        <v>8</v>
      </c>
      <c r="L116">
        <v>15.45</v>
      </c>
      <c r="M116" s="5">
        <v>0.441</v>
      </c>
      <c r="N116">
        <v>155</v>
      </c>
      <c r="O116">
        <v>15</v>
      </c>
      <c r="P116" t="s">
        <v>54</v>
      </c>
      <c r="Q116" t="s">
        <v>34</v>
      </c>
      <c r="R116" t="s">
        <v>88</v>
      </c>
    </row>
    <row r="117" spans="1:18" x14ac:dyDescent="0.3">
      <c r="A117" t="s">
        <v>55</v>
      </c>
      <c r="B117">
        <v>41.7</v>
      </c>
      <c r="C117">
        <v>90</v>
      </c>
      <c r="D117">
        <v>55</v>
      </c>
      <c r="E117">
        <v>80</v>
      </c>
      <c r="F117">
        <v>48</v>
      </c>
      <c r="G117">
        <v>26.55</v>
      </c>
      <c r="H117">
        <v>2.8</v>
      </c>
      <c r="I117">
        <v>8</v>
      </c>
      <c r="J117">
        <v>6.65</v>
      </c>
      <c r="K117">
        <v>4</v>
      </c>
      <c r="L117">
        <v>29.35</v>
      </c>
      <c r="M117" s="5">
        <v>0.61099999999999999</v>
      </c>
      <c r="N117">
        <v>295</v>
      </c>
      <c r="O117">
        <v>28</v>
      </c>
      <c r="P117" t="s">
        <v>56</v>
      </c>
      <c r="Q117" t="s">
        <v>57</v>
      </c>
      <c r="R117" t="s">
        <v>91</v>
      </c>
    </row>
    <row r="118" spans="1:18" x14ac:dyDescent="0.3">
      <c r="A118" t="s">
        <v>58</v>
      </c>
      <c r="B118">
        <v>26.6</v>
      </c>
      <c r="C118">
        <v>120</v>
      </c>
      <c r="D118">
        <v>70</v>
      </c>
      <c r="E118">
        <v>100</v>
      </c>
      <c r="F118">
        <v>60</v>
      </c>
      <c r="G118">
        <v>34.92</v>
      </c>
      <c r="H118">
        <v>4.5</v>
      </c>
      <c r="I118">
        <v>9</v>
      </c>
      <c r="J118">
        <v>7.58</v>
      </c>
      <c r="K118">
        <v>4</v>
      </c>
      <c r="L118">
        <v>39.42</v>
      </c>
      <c r="M118" s="5">
        <v>0.65700000000000003</v>
      </c>
      <c r="N118">
        <v>388</v>
      </c>
      <c r="O118">
        <v>45</v>
      </c>
      <c r="P118" t="s">
        <v>59</v>
      </c>
      <c r="Q118" t="s">
        <v>35</v>
      </c>
      <c r="R118" t="s">
        <v>92</v>
      </c>
    </row>
    <row r="119" spans="1:18" x14ac:dyDescent="0.3">
      <c r="A119" t="s">
        <v>60</v>
      </c>
      <c r="B119">
        <v>9.1</v>
      </c>
      <c r="C119">
        <v>150</v>
      </c>
      <c r="D119">
        <v>90</v>
      </c>
      <c r="E119">
        <v>120</v>
      </c>
      <c r="F119">
        <v>70</v>
      </c>
      <c r="G119">
        <v>49.32</v>
      </c>
      <c r="H119">
        <v>6.8</v>
      </c>
      <c r="I119">
        <v>10</v>
      </c>
      <c r="J119">
        <v>8.8800000000000008</v>
      </c>
      <c r="K119">
        <v>5</v>
      </c>
      <c r="L119">
        <v>56.12</v>
      </c>
      <c r="M119" s="5">
        <v>0.80200000000000005</v>
      </c>
      <c r="N119">
        <v>548</v>
      </c>
      <c r="O119">
        <v>68</v>
      </c>
      <c r="P119" t="s">
        <v>61</v>
      </c>
      <c r="Q119" t="s">
        <v>36</v>
      </c>
      <c r="R119" t="s">
        <v>93</v>
      </c>
    </row>
    <row r="120" spans="1:18" x14ac:dyDescent="0.3">
      <c r="A120" t="s">
        <v>62</v>
      </c>
      <c r="B120">
        <v>8.1999999999999993</v>
      </c>
      <c r="C120">
        <v>161</v>
      </c>
      <c r="D120">
        <v>97</v>
      </c>
      <c r="E120">
        <v>154</v>
      </c>
      <c r="F120">
        <v>85</v>
      </c>
      <c r="G120">
        <v>55.8</v>
      </c>
      <c r="H120">
        <v>12</v>
      </c>
      <c r="I120">
        <v>12</v>
      </c>
      <c r="J120">
        <v>10.199999999999999</v>
      </c>
      <c r="K120">
        <v>15</v>
      </c>
      <c r="L120">
        <v>67.8</v>
      </c>
      <c r="M120" s="5">
        <v>0.79800000000000004</v>
      </c>
      <c r="N120">
        <v>620</v>
      </c>
      <c r="O120">
        <v>120</v>
      </c>
      <c r="P120" t="s">
        <v>63</v>
      </c>
      <c r="Q120" t="s">
        <v>37</v>
      </c>
    </row>
    <row r="121" spans="1:18" x14ac:dyDescent="0.3">
      <c r="A121" t="s">
        <v>64</v>
      </c>
      <c r="B121">
        <v>17.100000000000001</v>
      </c>
      <c r="C121" t="s">
        <v>74</v>
      </c>
      <c r="D121" t="s">
        <v>65</v>
      </c>
      <c r="E121" t="s">
        <v>75</v>
      </c>
      <c r="F121" t="s">
        <v>76</v>
      </c>
      <c r="G121">
        <v>63</v>
      </c>
      <c r="H121">
        <v>15</v>
      </c>
      <c r="I121">
        <v>13</v>
      </c>
      <c r="J121">
        <v>11</v>
      </c>
      <c r="K121">
        <v>13</v>
      </c>
      <c r="L121">
        <v>78</v>
      </c>
      <c r="M121" s="5">
        <v>0.82099999999999995</v>
      </c>
      <c r="N121" t="s">
        <v>81</v>
      </c>
      <c r="O121" t="s">
        <v>82</v>
      </c>
      <c r="P121" t="s">
        <v>66</v>
      </c>
      <c r="Q121" t="s">
        <v>67</v>
      </c>
    </row>
  </sheetData>
  <mergeCells count="1">
    <mergeCell ref="A18:G18"/>
  </mergeCells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碳酸锂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墨 刘</dc:creator>
  <cp:lastModifiedBy>墨 刘</cp:lastModifiedBy>
  <dcterms:created xsi:type="dcterms:W3CDTF">2026-01-24T01:31:37Z</dcterms:created>
  <dcterms:modified xsi:type="dcterms:W3CDTF">2026-01-25T14:33:45Z</dcterms:modified>
</cp:coreProperties>
</file>